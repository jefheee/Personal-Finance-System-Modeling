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UNISUL-2025\2025_B\Modelagem Software-BD\"/>
    </mc:Choice>
  </mc:AlternateContent>
  <xr:revisionPtr revIDLastSave="0" documentId="8_{F018514A-FBE8-455F-A7CA-6B26FBE45BC7}" xr6:coauthVersionLast="47" xr6:coauthVersionMax="47" xr10:uidLastSave="{00000000-0000-0000-0000-000000000000}"/>
  <bookViews>
    <workbookView xWindow="-108" yWindow="-108" windowWidth="23256" windowHeight="12576" tabRatio="714" xr2:uid="{0A32B5D4-D938-4202-AB9F-1A84147F7F39}"/>
  </bookViews>
  <sheets>
    <sheet name="Lançamentos" sheetId="13" r:id="rId1"/>
  </sheets>
  <definedNames>
    <definedName name="_xlnm._FilterDatabase" localSheetId="0" hidden="1">Lançamentos!$A$1:$H$142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5" i="13" l="1"/>
  <c r="G61" i="13"/>
  <c r="G46" i="13"/>
  <c r="G32" i="13"/>
  <c r="G18" i="13"/>
  <c r="G2" i="13"/>
</calcChain>
</file>

<file path=xl/sharedStrings.xml><?xml version="1.0" encoding="utf-8"?>
<sst xmlns="http://schemas.openxmlformats.org/spreadsheetml/2006/main" count="854" uniqueCount="61">
  <si>
    <t>TIPO</t>
  </si>
  <si>
    <t>CATEGORIA</t>
  </si>
  <si>
    <t>Prestação da casa</t>
  </si>
  <si>
    <t>Plano de saúde</t>
  </si>
  <si>
    <t>RECEITAS</t>
  </si>
  <si>
    <t>Salário</t>
  </si>
  <si>
    <t>13º salário</t>
  </si>
  <si>
    <t>Colégio</t>
  </si>
  <si>
    <t>Luz</t>
  </si>
  <si>
    <t>Água</t>
  </si>
  <si>
    <t>TV e Streaming</t>
  </si>
  <si>
    <t>Combustível</t>
  </si>
  <si>
    <t>Supermercado</t>
  </si>
  <si>
    <t>Barbeiro</t>
  </si>
  <si>
    <t>Casa (manutenção)</t>
  </si>
  <si>
    <t>Cinema/teatro</t>
  </si>
  <si>
    <t>Presentes</t>
  </si>
  <si>
    <t>DATA</t>
  </si>
  <si>
    <t>VALOR</t>
  </si>
  <si>
    <t>DESCRIÇÃO</t>
  </si>
  <si>
    <t>PIX</t>
  </si>
  <si>
    <t>DÉBITO</t>
  </si>
  <si>
    <t>FORMA DE PAGAMENTO</t>
  </si>
  <si>
    <t>Salário mensal</t>
  </si>
  <si>
    <t>TRANSFERÊNCIA BANCÁRIA</t>
  </si>
  <si>
    <t>Quinzena</t>
  </si>
  <si>
    <t>Eletricista (manutenção)</t>
  </si>
  <si>
    <t>Juros Bancários</t>
  </si>
  <si>
    <t>Cartão de crédito</t>
  </si>
  <si>
    <t>Bares</t>
  </si>
  <si>
    <t>Restaurantes</t>
  </si>
  <si>
    <t>Uber</t>
  </si>
  <si>
    <t>Supermercado Popular</t>
  </si>
  <si>
    <t>NetFlix</t>
  </si>
  <si>
    <t>CONTA</t>
  </si>
  <si>
    <t>Mesada (mensal)</t>
  </si>
  <si>
    <t>Outras Receitas</t>
  </si>
  <si>
    <t>PPR</t>
  </si>
  <si>
    <t>13 Salário</t>
  </si>
  <si>
    <t>Juros</t>
  </si>
  <si>
    <t>Saldo bancário (anterior)</t>
  </si>
  <si>
    <t>Armazém</t>
  </si>
  <si>
    <t>Eletricista</t>
  </si>
  <si>
    <t>Filho</t>
  </si>
  <si>
    <t>Companhia de Água e Esgoto</t>
  </si>
  <si>
    <t>Financiamento Casa Própria</t>
  </si>
  <si>
    <t>Fatura Cartão de crédito</t>
  </si>
  <si>
    <t>Pizzaria</t>
  </si>
  <si>
    <t>Companhia de Eletricidade</t>
  </si>
  <si>
    <t>Plano de Saúde</t>
  </si>
  <si>
    <t>Cinema</t>
  </si>
  <si>
    <t>Barzinho</t>
  </si>
  <si>
    <t>Posto de Gasolina</t>
  </si>
  <si>
    <t xml:space="preserve">Compra Notebook </t>
  </si>
  <si>
    <t>BANCO SC</t>
  </si>
  <si>
    <t>FINTECH</t>
  </si>
  <si>
    <t>COOPERATIVA</t>
  </si>
  <si>
    <t>S</t>
  </si>
  <si>
    <t>N</t>
  </si>
  <si>
    <t>DESPESAS</t>
  </si>
  <si>
    <t>COMPENSADO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</si>
</sst>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2"/>
      <name val="Calibri"/>
      <family val="2"/>
      <scheme val="minor"/>
    </font>
    <font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 applyAlignment="1">
      <alignment horizontal="center"/>
    </xf>
    <xf numFmtId="44" fontId="0" fillId="0" borderId="0" xfId="1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44" fontId="2" fillId="2" borderId="0" xfId="1" applyFont="1" applyFill="1"/>
    <xf numFmtId="44" fontId="0" fillId="0" borderId="0" xfId="1" applyFont="1" applyFill="1"/>
    <xf numFmtId="14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3" fillId="0" borderId="0" xfId="0" applyFont="1"/>
    <xf numFmtId="44" fontId="3" fillId="0" borderId="0" xfId="1" applyFont="1"/>
  </cellXfs>
  <cellStyles count="2">
    <cellStyle name="Moeda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7A025A18-C2B3-456E-A01E-33F6C67F70E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A7508-F82F-43B9-B33C-BB6354436EC5}">
  <sheetPr>
    <tabColor theme="0" tint="-0.499984740745262"/>
  </sheetPr>
  <dimension ref="A1:H142"/>
  <sheetViews>
    <sheetView tabSelected="1" workbookViewId="0">
      <selection activeCell="D1" sqref="D1"/>
    </sheetView>
  </sheetViews>
  <sheetFormatPr defaultRowHeight="14.4" x14ac:dyDescent="0.3"/>
  <cols>
    <col min="1" max="1" width="20.33203125" style="3" customWidth="1"/>
    <col min="2" max="2" width="38.44140625" customWidth="1"/>
    <col min="3" max="3" width="26.109375" customWidth="1"/>
    <col min="4" max="4" width="38.44140625" customWidth="1"/>
    <col min="5" max="6" width="26.109375" customWidth="1"/>
    <col min="7" max="7" width="17.5546875" style="2" customWidth="1"/>
    <col min="8" max="8" width="13.77734375" bestFit="1" customWidth="1"/>
  </cols>
  <sheetData>
    <row r="1" spans="1:8" ht="15.6" x14ac:dyDescent="0.3">
      <c r="A1" s="5" t="s">
        <v>17</v>
      </c>
      <c r="B1" s="6" t="s">
        <v>0</v>
      </c>
      <c r="C1" s="6" t="s">
        <v>1</v>
      </c>
      <c r="D1" s="6" t="s">
        <v>19</v>
      </c>
      <c r="E1" s="6" t="s">
        <v>34</v>
      </c>
      <c r="F1" s="6" t="s">
        <v>22</v>
      </c>
      <c r="G1" s="7" t="s">
        <v>18</v>
      </c>
      <c r="H1" s="6" t="s">
        <v>60</v>
      </c>
    </row>
    <row r="2" spans="1:8" x14ac:dyDescent="0.3">
      <c r="A2" s="1">
        <v>45110</v>
      </c>
      <c r="B2" t="s">
        <v>59</v>
      </c>
      <c r="C2" t="s">
        <v>27</v>
      </c>
      <c r="D2" t="s">
        <v>39</v>
      </c>
      <c r="E2" t="s">
        <v>54</v>
      </c>
      <c r="F2" t="s">
        <v>21</v>
      </c>
      <c r="G2" s="8">
        <f>16.98+5.32+0.37</f>
        <v>22.67</v>
      </c>
      <c r="H2" t="s">
        <v>57</v>
      </c>
    </row>
    <row r="3" spans="1:8" x14ac:dyDescent="0.3">
      <c r="A3" s="1">
        <v>45115</v>
      </c>
      <c r="B3" t="s">
        <v>59</v>
      </c>
      <c r="C3" t="s">
        <v>14</v>
      </c>
      <c r="D3" t="s">
        <v>41</v>
      </c>
      <c r="E3" t="s">
        <v>54</v>
      </c>
      <c r="F3" t="s">
        <v>21</v>
      </c>
      <c r="G3" s="8">
        <v>9</v>
      </c>
      <c r="H3" t="s">
        <v>57</v>
      </c>
    </row>
    <row r="4" spans="1:8" x14ac:dyDescent="0.3">
      <c r="A4" s="1">
        <v>45115</v>
      </c>
      <c r="B4" t="s">
        <v>59</v>
      </c>
      <c r="C4" t="s">
        <v>26</v>
      </c>
      <c r="D4" t="s">
        <v>42</v>
      </c>
      <c r="E4" t="s">
        <v>54</v>
      </c>
      <c r="F4" t="s">
        <v>21</v>
      </c>
      <c r="G4" s="8">
        <v>50</v>
      </c>
      <c r="H4" t="s">
        <v>57</v>
      </c>
    </row>
    <row r="5" spans="1:8" x14ac:dyDescent="0.3">
      <c r="A5" s="1">
        <v>45120</v>
      </c>
      <c r="B5" t="s">
        <v>59</v>
      </c>
      <c r="C5" t="s">
        <v>9</v>
      </c>
      <c r="D5" t="s">
        <v>44</v>
      </c>
      <c r="E5" t="s">
        <v>54</v>
      </c>
      <c r="F5" t="s">
        <v>21</v>
      </c>
      <c r="G5" s="8">
        <v>57.22</v>
      </c>
      <c r="H5" t="s">
        <v>57</v>
      </c>
    </row>
    <row r="6" spans="1:8" x14ac:dyDescent="0.3">
      <c r="A6" s="1">
        <v>45122</v>
      </c>
      <c r="B6" t="s">
        <v>59</v>
      </c>
      <c r="C6" t="s">
        <v>2</v>
      </c>
      <c r="D6" t="s">
        <v>45</v>
      </c>
      <c r="E6" t="s">
        <v>54</v>
      </c>
      <c r="F6" t="s">
        <v>21</v>
      </c>
      <c r="G6" s="8">
        <v>250</v>
      </c>
      <c r="H6" t="s">
        <v>57</v>
      </c>
    </row>
    <row r="7" spans="1:8" x14ac:dyDescent="0.3">
      <c r="A7" s="1">
        <v>45122</v>
      </c>
      <c r="B7" t="s">
        <v>59</v>
      </c>
      <c r="C7" t="s">
        <v>3</v>
      </c>
      <c r="D7" t="s">
        <v>49</v>
      </c>
      <c r="E7" t="s">
        <v>54</v>
      </c>
      <c r="F7" t="s">
        <v>21</v>
      </c>
      <c r="G7" s="8">
        <v>300</v>
      </c>
      <c r="H7" t="s">
        <v>57</v>
      </c>
    </row>
    <row r="8" spans="1:8" x14ac:dyDescent="0.3">
      <c r="A8" s="1">
        <v>45124</v>
      </c>
      <c r="B8" t="s">
        <v>59</v>
      </c>
      <c r="C8" t="s">
        <v>28</v>
      </c>
      <c r="D8" t="s">
        <v>46</v>
      </c>
      <c r="E8" t="s">
        <v>54</v>
      </c>
      <c r="F8" t="s">
        <v>21</v>
      </c>
      <c r="G8" s="8">
        <v>300</v>
      </c>
      <c r="H8" t="s">
        <v>57</v>
      </c>
    </row>
    <row r="9" spans="1:8" x14ac:dyDescent="0.3">
      <c r="A9" s="1">
        <v>45126</v>
      </c>
      <c r="B9" t="s">
        <v>59</v>
      </c>
      <c r="C9" t="s">
        <v>30</v>
      </c>
      <c r="D9" t="s">
        <v>47</v>
      </c>
      <c r="E9" t="s">
        <v>54</v>
      </c>
      <c r="F9" t="s">
        <v>21</v>
      </c>
      <c r="G9" s="8">
        <v>130</v>
      </c>
      <c r="H9" t="s">
        <v>57</v>
      </c>
    </row>
    <row r="10" spans="1:8" x14ac:dyDescent="0.3">
      <c r="A10" s="1">
        <v>45128</v>
      </c>
      <c r="B10" t="s">
        <v>59</v>
      </c>
      <c r="C10" t="s">
        <v>10</v>
      </c>
      <c r="D10" t="s">
        <v>33</v>
      </c>
      <c r="E10" t="s">
        <v>54</v>
      </c>
      <c r="F10" t="s">
        <v>21</v>
      </c>
      <c r="G10" s="8">
        <v>55.9</v>
      </c>
      <c r="H10" t="s">
        <v>57</v>
      </c>
    </row>
    <row r="11" spans="1:8" x14ac:dyDescent="0.3">
      <c r="A11" s="1">
        <v>45132</v>
      </c>
      <c r="B11" t="s">
        <v>59</v>
      </c>
      <c r="C11" t="s">
        <v>12</v>
      </c>
      <c r="D11" t="s">
        <v>32</v>
      </c>
      <c r="E11" t="s">
        <v>54</v>
      </c>
      <c r="F11" t="s">
        <v>21</v>
      </c>
      <c r="G11" s="8">
        <v>600</v>
      </c>
      <c r="H11" t="s">
        <v>57</v>
      </c>
    </row>
    <row r="12" spans="1:8" x14ac:dyDescent="0.3">
      <c r="A12" s="1">
        <v>45137</v>
      </c>
      <c r="B12" t="s">
        <v>59</v>
      </c>
      <c r="C12" t="s">
        <v>8</v>
      </c>
      <c r="D12" t="s">
        <v>48</v>
      </c>
      <c r="E12" t="s">
        <v>54</v>
      </c>
      <c r="F12" t="s">
        <v>21</v>
      </c>
      <c r="G12" s="8">
        <v>125</v>
      </c>
      <c r="H12" t="s">
        <v>57</v>
      </c>
    </row>
    <row r="13" spans="1:8" x14ac:dyDescent="0.3">
      <c r="A13" s="1">
        <v>45137</v>
      </c>
      <c r="B13" t="s">
        <v>59</v>
      </c>
      <c r="C13" t="s">
        <v>15</v>
      </c>
      <c r="D13" t="s">
        <v>50</v>
      </c>
      <c r="E13" t="s">
        <v>55</v>
      </c>
      <c r="F13" t="s">
        <v>21</v>
      </c>
      <c r="G13" s="8">
        <v>50</v>
      </c>
      <c r="H13" t="s">
        <v>57</v>
      </c>
    </row>
    <row r="14" spans="1:8" x14ac:dyDescent="0.3">
      <c r="A14" s="1">
        <v>45137</v>
      </c>
      <c r="B14" t="s">
        <v>59</v>
      </c>
      <c r="C14" t="s">
        <v>29</v>
      </c>
      <c r="D14" t="s">
        <v>51</v>
      </c>
      <c r="E14" t="s">
        <v>55</v>
      </c>
      <c r="F14" t="s">
        <v>21</v>
      </c>
      <c r="G14" s="8">
        <v>100</v>
      </c>
      <c r="H14" t="s">
        <v>57</v>
      </c>
    </row>
    <row r="15" spans="1:8" x14ac:dyDescent="0.3">
      <c r="A15" s="1">
        <v>45137</v>
      </c>
      <c r="B15" t="s">
        <v>59</v>
      </c>
      <c r="C15" t="s">
        <v>7</v>
      </c>
      <c r="D15" t="s">
        <v>7</v>
      </c>
      <c r="E15" t="s">
        <v>54</v>
      </c>
      <c r="F15" t="s">
        <v>21</v>
      </c>
      <c r="G15" s="8">
        <v>150</v>
      </c>
      <c r="H15" t="s">
        <v>57</v>
      </c>
    </row>
    <row r="16" spans="1:8" x14ac:dyDescent="0.3">
      <c r="A16" s="1">
        <v>45137</v>
      </c>
      <c r="B16" t="s">
        <v>59</v>
      </c>
      <c r="C16" t="s">
        <v>31</v>
      </c>
      <c r="D16" t="s">
        <v>31</v>
      </c>
      <c r="E16" t="s">
        <v>56</v>
      </c>
      <c r="F16" t="s">
        <v>21</v>
      </c>
      <c r="G16" s="8">
        <v>120</v>
      </c>
      <c r="H16" t="s">
        <v>57</v>
      </c>
    </row>
    <row r="17" spans="1:8" x14ac:dyDescent="0.3">
      <c r="A17" s="1">
        <v>45137</v>
      </c>
      <c r="B17" t="s">
        <v>59</v>
      </c>
      <c r="C17" t="s">
        <v>11</v>
      </c>
      <c r="D17" t="s">
        <v>52</v>
      </c>
      <c r="E17" t="s">
        <v>56</v>
      </c>
      <c r="F17" t="s">
        <v>21</v>
      </c>
      <c r="G17" s="8">
        <v>130</v>
      </c>
      <c r="H17" t="s">
        <v>57</v>
      </c>
    </row>
    <row r="18" spans="1:8" x14ac:dyDescent="0.3">
      <c r="A18" s="1">
        <v>45139</v>
      </c>
      <c r="B18" t="s">
        <v>59</v>
      </c>
      <c r="C18" t="s">
        <v>27</v>
      </c>
      <c r="D18" t="s">
        <v>39</v>
      </c>
      <c r="E18" t="s">
        <v>54</v>
      </c>
      <c r="F18" t="s">
        <v>21</v>
      </c>
      <c r="G18" s="8">
        <f>16.98+5.32+0.37</f>
        <v>22.67</v>
      </c>
      <c r="H18" t="s">
        <v>57</v>
      </c>
    </row>
    <row r="19" spans="1:8" x14ac:dyDescent="0.3">
      <c r="A19" s="1">
        <v>45148</v>
      </c>
      <c r="B19" t="s">
        <v>59</v>
      </c>
      <c r="C19" t="s">
        <v>9</v>
      </c>
      <c r="D19" t="s">
        <v>44</v>
      </c>
      <c r="E19" t="s">
        <v>54</v>
      </c>
      <c r="F19" t="s">
        <v>21</v>
      </c>
      <c r="G19" s="8">
        <v>57.22</v>
      </c>
      <c r="H19" t="s">
        <v>57</v>
      </c>
    </row>
    <row r="20" spans="1:8" x14ac:dyDescent="0.3">
      <c r="A20" s="1">
        <v>45148</v>
      </c>
      <c r="B20" t="s">
        <v>59</v>
      </c>
      <c r="C20" t="s">
        <v>2</v>
      </c>
      <c r="D20" t="s">
        <v>45</v>
      </c>
      <c r="E20" t="s">
        <v>54</v>
      </c>
      <c r="F20" t="s">
        <v>21</v>
      </c>
      <c r="G20" s="8">
        <v>250</v>
      </c>
      <c r="H20" t="s">
        <v>57</v>
      </c>
    </row>
    <row r="21" spans="1:8" x14ac:dyDescent="0.3">
      <c r="A21" s="1">
        <v>45153</v>
      </c>
      <c r="B21" t="s">
        <v>59</v>
      </c>
      <c r="C21" t="s">
        <v>3</v>
      </c>
      <c r="D21" t="s">
        <v>49</v>
      </c>
      <c r="E21" t="s">
        <v>54</v>
      </c>
      <c r="F21" t="s">
        <v>21</v>
      </c>
      <c r="G21" s="8">
        <v>300</v>
      </c>
      <c r="H21" t="s">
        <v>57</v>
      </c>
    </row>
    <row r="22" spans="1:8" x14ac:dyDescent="0.3">
      <c r="A22" s="1">
        <v>45158</v>
      </c>
      <c r="B22" t="s">
        <v>59</v>
      </c>
      <c r="C22" t="s">
        <v>28</v>
      </c>
      <c r="D22" t="s">
        <v>46</v>
      </c>
      <c r="E22" t="s">
        <v>54</v>
      </c>
      <c r="F22" t="s">
        <v>21</v>
      </c>
      <c r="G22" s="8">
        <v>300</v>
      </c>
      <c r="H22" t="s">
        <v>57</v>
      </c>
    </row>
    <row r="23" spans="1:8" x14ac:dyDescent="0.3">
      <c r="A23" s="1">
        <v>45160</v>
      </c>
      <c r="B23" t="s">
        <v>59</v>
      </c>
      <c r="C23" t="s">
        <v>30</v>
      </c>
      <c r="D23" t="s">
        <v>47</v>
      </c>
      <c r="E23" t="s">
        <v>54</v>
      </c>
      <c r="F23" t="s">
        <v>21</v>
      </c>
      <c r="G23" s="8">
        <v>130</v>
      </c>
      <c r="H23" t="s">
        <v>57</v>
      </c>
    </row>
    <row r="24" spans="1:8" x14ac:dyDescent="0.3">
      <c r="A24" s="1">
        <v>45161</v>
      </c>
      <c r="B24" t="s">
        <v>59</v>
      </c>
      <c r="C24" t="s">
        <v>10</v>
      </c>
      <c r="D24" t="s">
        <v>33</v>
      </c>
      <c r="E24" t="s">
        <v>54</v>
      </c>
      <c r="F24" t="s">
        <v>21</v>
      </c>
      <c r="G24" s="8">
        <v>55.9</v>
      </c>
      <c r="H24" t="s">
        <v>57</v>
      </c>
    </row>
    <row r="25" spans="1:8" x14ac:dyDescent="0.3">
      <c r="A25" s="1">
        <v>45166</v>
      </c>
      <c r="B25" t="s">
        <v>59</v>
      </c>
      <c r="C25" t="s">
        <v>12</v>
      </c>
      <c r="D25" t="s">
        <v>32</v>
      </c>
      <c r="E25" t="s">
        <v>54</v>
      </c>
      <c r="F25" t="s">
        <v>21</v>
      </c>
      <c r="G25" s="8">
        <v>600</v>
      </c>
      <c r="H25" t="s">
        <v>57</v>
      </c>
    </row>
    <row r="26" spans="1:8" x14ac:dyDescent="0.3">
      <c r="A26" s="1">
        <v>45166</v>
      </c>
      <c r="B26" t="s">
        <v>59</v>
      </c>
      <c r="C26" t="s">
        <v>8</v>
      </c>
      <c r="D26" t="s">
        <v>48</v>
      </c>
      <c r="E26" t="s">
        <v>54</v>
      </c>
      <c r="F26" t="s">
        <v>21</v>
      </c>
      <c r="G26" s="8">
        <v>125</v>
      </c>
      <c r="H26" t="s">
        <v>57</v>
      </c>
    </row>
    <row r="27" spans="1:8" x14ac:dyDescent="0.3">
      <c r="A27" s="1">
        <v>45167</v>
      </c>
      <c r="B27" t="s">
        <v>59</v>
      </c>
      <c r="C27" t="s">
        <v>15</v>
      </c>
      <c r="D27" t="s">
        <v>50</v>
      </c>
      <c r="E27" t="s">
        <v>55</v>
      </c>
      <c r="F27" t="s">
        <v>21</v>
      </c>
      <c r="G27" s="8">
        <v>50</v>
      </c>
      <c r="H27" t="s">
        <v>57</v>
      </c>
    </row>
    <row r="28" spans="1:8" x14ac:dyDescent="0.3">
      <c r="A28" s="1">
        <v>45168</v>
      </c>
      <c r="B28" t="s">
        <v>59</v>
      </c>
      <c r="C28" t="s">
        <v>29</v>
      </c>
      <c r="D28" t="s">
        <v>51</v>
      </c>
      <c r="E28" t="s">
        <v>55</v>
      </c>
      <c r="F28" t="s">
        <v>21</v>
      </c>
      <c r="G28" s="8">
        <v>100</v>
      </c>
      <c r="H28" t="s">
        <v>57</v>
      </c>
    </row>
    <row r="29" spans="1:8" x14ac:dyDescent="0.3">
      <c r="A29" s="1">
        <v>45168</v>
      </c>
      <c r="B29" t="s">
        <v>59</v>
      </c>
      <c r="C29" t="s">
        <v>7</v>
      </c>
      <c r="D29" t="s">
        <v>7</v>
      </c>
      <c r="E29" t="s">
        <v>54</v>
      </c>
      <c r="F29" t="s">
        <v>21</v>
      </c>
      <c r="G29" s="8">
        <v>150</v>
      </c>
      <c r="H29" t="s">
        <v>57</v>
      </c>
    </row>
    <row r="30" spans="1:8" x14ac:dyDescent="0.3">
      <c r="A30" s="1">
        <v>45169</v>
      </c>
      <c r="B30" t="s">
        <v>59</v>
      </c>
      <c r="C30" t="s">
        <v>31</v>
      </c>
      <c r="D30" t="s">
        <v>31</v>
      </c>
      <c r="E30" t="s">
        <v>56</v>
      </c>
      <c r="F30" t="s">
        <v>21</v>
      </c>
      <c r="G30" s="8">
        <v>120</v>
      </c>
      <c r="H30" t="s">
        <v>57</v>
      </c>
    </row>
    <row r="31" spans="1:8" x14ac:dyDescent="0.3">
      <c r="A31" s="1">
        <v>45169</v>
      </c>
      <c r="B31" t="s">
        <v>59</v>
      </c>
      <c r="C31" t="s">
        <v>11</v>
      </c>
      <c r="D31" t="s">
        <v>52</v>
      </c>
      <c r="E31" t="s">
        <v>56</v>
      </c>
      <c r="F31" t="s">
        <v>21</v>
      </c>
      <c r="G31" s="8">
        <v>130</v>
      </c>
      <c r="H31" t="s">
        <v>57</v>
      </c>
    </row>
    <row r="32" spans="1:8" x14ac:dyDescent="0.3">
      <c r="A32" s="1">
        <v>45170</v>
      </c>
      <c r="B32" t="s">
        <v>59</v>
      </c>
      <c r="C32" t="s">
        <v>27</v>
      </c>
      <c r="D32" t="s">
        <v>39</v>
      </c>
      <c r="E32" t="s">
        <v>54</v>
      </c>
      <c r="F32" t="s">
        <v>21</v>
      </c>
      <c r="G32" s="8">
        <f>16.98+5.32+0.37+3.07</f>
        <v>25.740000000000002</v>
      </c>
      <c r="H32" t="s">
        <v>57</v>
      </c>
    </row>
    <row r="33" spans="1:8" x14ac:dyDescent="0.3">
      <c r="A33" s="1">
        <v>45176</v>
      </c>
      <c r="B33" t="s">
        <v>59</v>
      </c>
      <c r="C33" t="s">
        <v>9</v>
      </c>
      <c r="D33" t="s">
        <v>44</v>
      </c>
      <c r="E33" t="s">
        <v>54</v>
      </c>
      <c r="F33" t="s">
        <v>21</v>
      </c>
      <c r="G33" s="8">
        <v>57.22</v>
      </c>
      <c r="H33" t="s">
        <v>57</v>
      </c>
    </row>
    <row r="34" spans="1:8" x14ac:dyDescent="0.3">
      <c r="A34" s="1">
        <v>45179</v>
      </c>
      <c r="B34" t="s">
        <v>59</v>
      </c>
      <c r="C34" t="s">
        <v>2</v>
      </c>
      <c r="D34" t="s">
        <v>45</v>
      </c>
      <c r="E34" t="s">
        <v>54</v>
      </c>
      <c r="F34" t="s">
        <v>21</v>
      </c>
      <c r="G34" s="8">
        <v>250</v>
      </c>
      <c r="H34" t="s">
        <v>57</v>
      </c>
    </row>
    <row r="35" spans="1:8" x14ac:dyDescent="0.3">
      <c r="A35" s="1">
        <v>45184</v>
      </c>
      <c r="B35" t="s">
        <v>59</v>
      </c>
      <c r="C35" t="s">
        <v>3</v>
      </c>
      <c r="D35" t="s">
        <v>49</v>
      </c>
      <c r="E35" t="s">
        <v>54</v>
      </c>
      <c r="F35" t="s">
        <v>21</v>
      </c>
      <c r="G35" s="8">
        <v>300</v>
      </c>
      <c r="H35" t="s">
        <v>57</v>
      </c>
    </row>
    <row r="36" spans="1:8" x14ac:dyDescent="0.3">
      <c r="A36" s="1">
        <v>45189</v>
      </c>
      <c r="B36" t="s">
        <v>59</v>
      </c>
      <c r="C36" t="s">
        <v>28</v>
      </c>
      <c r="D36" t="s">
        <v>46</v>
      </c>
      <c r="E36" t="s">
        <v>54</v>
      </c>
      <c r="F36" t="s">
        <v>21</v>
      </c>
      <c r="G36" s="8">
        <v>300</v>
      </c>
      <c r="H36" t="s">
        <v>57</v>
      </c>
    </row>
    <row r="37" spans="1:8" x14ac:dyDescent="0.3">
      <c r="A37" s="1">
        <v>45190</v>
      </c>
      <c r="B37" t="s">
        <v>59</v>
      </c>
      <c r="C37" t="s">
        <v>30</v>
      </c>
      <c r="D37" t="s">
        <v>47</v>
      </c>
      <c r="E37" t="s">
        <v>54</v>
      </c>
      <c r="F37" t="s">
        <v>21</v>
      </c>
      <c r="G37" s="8">
        <v>130</v>
      </c>
      <c r="H37" t="s">
        <v>57</v>
      </c>
    </row>
    <row r="38" spans="1:8" x14ac:dyDescent="0.3">
      <c r="A38" s="1">
        <v>45190</v>
      </c>
      <c r="B38" t="s">
        <v>59</v>
      </c>
      <c r="C38" t="s">
        <v>10</v>
      </c>
      <c r="D38" t="s">
        <v>33</v>
      </c>
      <c r="E38" t="s">
        <v>54</v>
      </c>
      <c r="F38" t="s">
        <v>21</v>
      </c>
      <c r="G38" s="8">
        <v>55.9</v>
      </c>
      <c r="H38" t="s">
        <v>57</v>
      </c>
    </row>
    <row r="39" spans="1:8" x14ac:dyDescent="0.3">
      <c r="A39" s="1">
        <v>45192</v>
      </c>
      <c r="B39" t="s">
        <v>59</v>
      </c>
      <c r="C39" t="s">
        <v>12</v>
      </c>
      <c r="D39" t="s">
        <v>32</v>
      </c>
      <c r="E39" t="s">
        <v>54</v>
      </c>
      <c r="F39" t="s">
        <v>21</v>
      </c>
      <c r="G39" s="8">
        <v>600</v>
      </c>
      <c r="H39" t="s">
        <v>57</v>
      </c>
    </row>
    <row r="40" spans="1:8" x14ac:dyDescent="0.3">
      <c r="A40" s="1">
        <v>45194</v>
      </c>
      <c r="B40" t="s">
        <v>59</v>
      </c>
      <c r="C40" t="s">
        <v>8</v>
      </c>
      <c r="D40" t="s">
        <v>48</v>
      </c>
      <c r="E40" t="s">
        <v>54</v>
      </c>
      <c r="F40" t="s">
        <v>21</v>
      </c>
      <c r="G40" s="8">
        <v>125</v>
      </c>
      <c r="H40" t="s">
        <v>57</v>
      </c>
    </row>
    <row r="41" spans="1:8" x14ac:dyDescent="0.3">
      <c r="A41" s="1">
        <v>45196</v>
      </c>
      <c r="B41" t="s">
        <v>59</v>
      </c>
      <c r="C41" t="s">
        <v>15</v>
      </c>
      <c r="D41" t="s">
        <v>50</v>
      </c>
      <c r="E41" t="s">
        <v>55</v>
      </c>
      <c r="F41" t="s">
        <v>21</v>
      </c>
      <c r="G41" s="8">
        <v>50</v>
      </c>
      <c r="H41" t="s">
        <v>57</v>
      </c>
    </row>
    <row r="42" spans="1:8" x14ac:dyDescent="0.3">
      <c r="A42" s="1">
        <v>45197</v>
      </c>
      <c r="B42" t="s">
        <v>59</v>
      </c>
      <c r="C42" t="s">
        <v>29</v>
      </c>
      <c r="D42" t="s">
        <v>51</v>
      </c>
      <c r="E42" t="s">
        <v>55</v>
      </c>
      <c r="F42" t="s">
        <v>21</v>
      </c>
      <c r="G42" s="8">
        <v>100</v>
      </c>
      <c r="H42" t="s">
        <v>57</v>
      </c>
    </row>
    <row r="43" spans="1:8" x14ac:dyDescent="0.3">
      <c r="A43" s="1">
        <v>45199</v>
      </c>
      <c r="B43" t="s">
        <v>59</v>
      </c>
      <c r="C43" t="s">
        <v>7</v>
      </c>
      <c r="D43" t="s">
        <v>7</v>
      </c>
      <c r="E43" t="s">
        <v>54</v>
      </c>
      <c r="F43" t="s">
        <v>21</v>
      </c>
      <c r="G43" s="8">
        <v>150</v>
      </c>
      <c r="H43" t="s">
        <v>57</v>
      </c>
    </row>
    <row r="44" spans="1:8" x14ac:dyDescent="0.3">
      <c r="A44" s="1">
        <v>45199</v>
      </c>
      <c r="B44" t="s">
        <v>59</v>
      </c>
      <c r="C44" t="s">
        <v>31</v>
      </c>
      <c r="D44" t="s">
        <v>31</v>
      </c>
      <c r="E44" t="s">
        <v>56</v>
      </c>
      <c r="F44" t="s">
        <v>21</v>
      </c>
      <c r="G44" s="8">
        <v>120</v>
      </c>
      <c r="H44" t="s">
        <v>57</v>
      </c>
    </row>
    <row r="45" spans="1:8" x14ac:dyDescent="0.3">
      <c r="A45" s="1">
        <v>45199</v>
      </c>
      <c r="B45" t="s">
        <v>59</v>
      </c>
      <c r="C45" t="s">
        <v>11</v>
      </c>
      <c r="D45" t="s">
        <v>52</v>
      </c>
      <c r="E45" t="s">
        <v>56</v>
      </c>
      <c r="F45" t="s">
        <v>21</v>
      </c>
      <c r="G45" s="8">
        <v>130</v>
      </c>
      <c r="H45" t="s">
        <v>57</v>
      </c>
    </row>
    <row r="46" spans="1:8" x14ac:dyDescent="0.3">
      <c r="A46" s="1">
        <v>45200</v>
      </c>
      <c r="B46" t="s">
        <v>59</v>
      </c>
      <c r="C46" t="s">
        <v>27</v>
      </c>
      <c r="D46" t="s">
        <v>39</v>
      </c>
      <c r="E46" t="s">
        <v>54</v>
      </c>
      <c r="F46" t="s">
        <v>21</v>
      </c>
      <c r="G46" s="8">
        <f>16.98+5.32+0.37+4.01</f>
        <v>26.68</v>
      </c>
      <c r="H46" t="s">
        <v>57</v>
      </c>
    </row>
    <row r="47" spans="1:8" x14ac:dyDescent="0.3">
      <c r="A47" s="1">
        <v>45229</v>
      </c>
      <c r="B47" t="s">
        <v>59</v>
      </c>
      <c r="C47" t="s">
        <v>9</v>
      </c>
      <c r="D47" t="s">
        <v>44</v>
      </c>
      <c r="E47" t="s">
        <v>54</v>
      </c>
      <c r="F47" t="s">
        <v>21</v>
      </c>
      <c r="G47" s="8">
        <v>57.22</v>
      </c>
      <c r="H47" t="s">
        <v>57</v>
      </c>
    </row>
    <row r="48" spans="1:8" x14ac:dyDescent="0.3">
      <c r="A48" s="1">
        <v>45229</v>
      </c>
      <c r="B48" t="s">
        <v>59</v>
      </c>
      <c r="C48" t="s">
        <v>2</v>
      </c>
      <c r="D48" t="s">
        <v>45</v>
      </c>
      <c r="E48" t="s">
        <v>54</v>
      </c>
      <c r="F48" t="s">
        <v>21</v>
      </c>
      <c r="G48" s="8">
        <v>250</v>
      </c>
      <c r="H48" t="s">
        <v>57</v>
      </c>
    </row>
    <row r="49" spans="1:8" x14ac:dyDescent="0.3">
      <c r="A49" s="1">
        <v>45229</v>
      </c>
      <c r="B49" t="s">
        <v>59</v>
      </c>
      <c r="C49" t="s">
        <v>3</v>
      </c>
      <c r="D49" t="s">
        <v>49</v>
      </c>
      <c r="E49" t="s">
        <v>54</v>
      </c>
      <c r="F49" t="s">
        <v>21</v>
      </c>
      <c r="G49" s="8">
        <v>300</v>
      </c>
      <c r="H49" t="s">
        <v>57</v>
      </c>
    </row>
    <row r="50" spans="1:8" x14ac:dyDescent="0.3">
      <c r="A50" s="1">
        <v>45229</v>
      </c>
      <c r="B50" t="s">
        <v>59</v>
      </c>
      <c r="C50" t="s">
        <v>28</v>
      </c>
      <c r="D50" t="s">
        <v>46</v>
      </c>
      <c r="E50" t="s">
        <v>54</v>
      </c>
      <c r="F50" t="s">
        <v>21</v>
      </c>
      <c r="G50" s="8">
        <v>300</v>
      </c>
      <c r="H50" t="s">
        <v>57</v>
      </c>
    </row>
    <row r="51" spans="1:8" x14ac:dyDescent="0.3">
      <c r="A51" s="1">
        <v>45229</v>
      </c>
      <c r="B51" t="s">
        <v>59</v>
      </c>
      <c r="C51" t="s">
        <v>30</v>
      </c>
      <c r="D51" t="s">
        <v>47</v>
      </c>
      <c r="E51" t="s">
        <v>54</v>
      </c>
      <c r="F51" t="s">
        <v>21</v>
      </c>
      <c r="G51" s="8">
        <v>130</v>
      </c>
      <c r="H51" t="s">
        <v>57</v>
      </c>
    </row>
    <row r="52" spans="1:8" x14ac:dyDescent="0.3">
      <c r="A52" s="1">
        <v>45229</v>
      </c>
      <c r="B52" t="s">
        <v>59</v>
      </c>
      <c r="C52" t="s">
        <v>10</v>
      </c>
      <c r="D52" t="s">
        <v>33</v>
      </c>
      <c r="E52" t="s">
        <v>54</v>
      </c>
      <c r="F52" t="s">
        <v>21</v>
      </c>
      <c r="G52" s="8">
        <v>55.9</v>
      </c>
      <c r="H52" t="s">
        <v>57</v>
      </c>
    </row>
    <row r="53" spans="1:8" x14ac:dyDescent="0.3">
      <c r="A53" s="1">
        <v>45229</v>
      </c>
      <c r="B53" t="s">
        <v>59</v>
      </c>
      <c r="C53" t="s">
        <v>12</v>
      </c>
      <c r="D53" t="s">
        <v>32</v>
      </c>
      <c r="E53" t="s">
        <v>54</v>
      </c>
      <c r="F53" t="s">
        <v>21</v>
      </c>
      <c r="G53" s="8">
        <v>600</v>
      </c>
      <c r="H53" t="s">
        <v>57</v>
      </c>
    </row>
    <row r="54" spans="1:8" x14ac:dyDescent="0.3">
      <c r="A54" s="1">
        <v>45229</v>
      </c>
      <c r="B54" t="s">
        <v>59</v>
      </c>
      <c r="C54" t="s">
        <v>8</v>
      </c>
      <c r="D54" t="s">
        <v>48</v>
      </c>
      <c r="E54" t="s">
        <v>54</v>
      </c>
      <c r="F54" t="s">
        <v>21</v>
      </c>
      <c r="G54" s="8">
        <v>125</v>
      </c>
      <c r="H54" t="s">
        <v>57</v>
      </c>
    </row>
    <row r="55" spans="1:8" x14ac:dyDescent="0.3">
      <c r="A55" s="1">
        <v>45229</v>
      </c>
      <c r="B55" t="s">
        <v>59</v>
      </c>
      <c r="C55" t="s">
        <v>15</v>
      </c>
      <c r="D55" t="s">
        <v>50</v>
      </c>
      <c r="E55" t="s">
        <v>55</v>
      </c>
      <c r="F55" t="s">
        <v>21</v>
      </c>
      <c r="G55" s="8">
        <v>50</v>
      </c>
      <c r="H55" t="s">
        <v>57</v>
      </c>
    </row>
    <row r="56" spans="1:8" x14ac:dyDescent="0.3">
      <c r="A56" s="1">
        <v>45229</v>
      </c>
      <c r="B56" t="s">
        <v>59</v>
      </c>
      <c r="C56" t="s">
        <v>29</v>
      </c>
      <c r="D56" t="s">
        <v>51</v>
      </c>
      <c r="E56" t="s">
        <v>55</v>
      </c>
      <c r="F56" t="s">
        <v>21</v>
      </c>
      <c r="G56" s="8">
        <v>100</v>
      </c>
      <c r="H56" t="s">
        <v>57</v>
      </c>
    </row>
    <row r="57" spans="1:8" x14ac:dyDescent="0.3">
      <c r="A57" s="1">
        <v>45229</v>
      </c>
      <c r="B57" t="s">
        <v>59</v>
      </c>
      <c r="C57" t="s">
        <v>7</v>
      </c>
      <c r="D57" t="s">
        <v>7</v>
      </c>
      <c r="E57" t="s">
        <v>54</v>
      </c>
      <c r="F57" t="s">
        <v>21</v>
      </c>
      <c r="G57" s="8">
        <v>150</v>
      </c>
      <c r="H57" t="s">
        <v>57</v>
      </c>
    </row>
    <row r="58" spans="1:8" x14ac:dyDescent="0.3">
      <c r="A58" s="1">
        <v>45229</v>
      </c>
      <c r="B58" t="s">
        <v>59</v>
      </c>
      <c r="C58" t="s">
        <v>31</v>
      </c>
      <c r="D58" t="s">
        <v>31</v>
      </c>
      <c r="E58" t="s">
        <v>56</v>
      </c>
      <c r="F58" t="s">
        <v>21</v>
      </c>
      <c r="G58" s="8">
        <v>120</v>
      </c>
      <c r="H58" t="s">
        <v>57</v>
      </c>
    </row>
    <row r="59" spans="1:8" x14ac:dyDescent="0.3">
      <c r="A59" s="1">
        <v>45229</v>
      </c>
      <c r="B59" t="s">
        <v>59</v>
      </c>
      <c r="C59" t="s">
        <v>11</v>
      </c>
      <c r="D59" t="s">
        <v>52</v>
      </c>
      <c r="E59" t="s">
        <v>56</v>
      </c>
      <c r="F59" t="s">
        <v>21</v>
      </c>
      <c r="G59" s="8">
        <v>130</v>
      </c>
      <c r="H59" t="s">
        <v>57</v>
      </c>
    </row>
    <row r="60" spans="1:8" x14ac:dyDescent="0.3">
      <c r="A60" s="1">
        <v>45250</v>
      </c>
      <c r="B60" t="s">
        <v>59</v>
      </c>
      <c r="C60" t="s">
        <v>16</v>
      </c>
      <c r="D60" t="s">
        <v>53</v>
      </c>
      <c r="E60" t="s">
        <v>54</v>
      </c>
      <c r="F60" t="s">
        <v>21</v>
      </c>
      <c r="G60" s="2">
        <v>1200</v>
      </c>
      <c r="H60" t="s">
        <v>58</v>
      </c>
    </row>
    <row r="61" spans="1:8" x14ac:dyDescent="0.3">
      <c r="A61" s="1">
        <v>45260</v>
      </c>
      <c r="B61" t="s">
        <v>59</v>
      </c>
      <c r="C61" t="s">
        <v>27</v>
      </c>
      <c r="D61" t="s">
        <v>39</v>
      </c>
      <c r="E61" t="s">
        <v>54</v>
      </c>
      <c r="F61" t="s">
        <v>21</v>
      </c>
      <c r="G61" s="8">
        <f>16.98+5.32+0.37</f>
        <v>22.67</v>
      </c>
      <c r="H61" t="s">
        <v>58</v>
      </c>
    </row>
    <row r="62" spans="1:8" x14ac:dyDescent="0.3">
      <c r="A62" s="1">
        <v>45260</v>
      </c>
      <c r="B62" t="s">
        <v>59</v>
      </c>
      <c r="C62" t="s">
        <v>9</v>
      </c>
      <c r="D62" t="s">
        <v>44</v>
      </c>
      <c r="E62" t="s">
        <v>54</v>
      </c>
      <c r="F62" t="s">
        <v>21</v>
      </c>
      <c r="G62" s="8">
        <v>57.22</v>
      </c>
      <c r="H62" t="s">
        <v>58</v>
      </c>
    </row>
    <row r="63" spans="1:8" x14ac:dyDescent="0.3">
      <c r="A63" s="1">
        <v>45260</v>
      </c>
      <c r="B63" t="s">
        <v>59</v>
      </c>
      <c r="C63" t="s">
        <v>2</v>
      </c>
      <c r="D63" t="s">
        <v>45</v>
      </c>
      <c r="E63" t="s">
        <v>54</v>
      </c>
      <c r="F63" t="s">
        <v>21</v>
      </c>
      <c r="G63" s="8">
        <v>250</v>
      </c>
      <c r="H63" t="s">
        <v>58</v>
      </c>
    </row>
    <row r="64" spans="1:8" x14ac:dyDescent="0.3">
      <c r="A64" s="1">
        <v>45260</v>
      </c>
      <c r="B64" t="s">
        <v>59</v>
      </c>
      <c r="C64" t="s">
        <v>3</v>
      </c>
      <c r="D64" t="s">
        <v>49</v>
      </c>
      <c r="E64" t="s">
        <v>54</v>
      </c>
      <c r="F64" t="s">
        <v>21</v>
      </c>
      <c r="G64" s="8">
        <v>300</v>
      </c>
      <c r="H64" t="s">
        <v>58</v>
      </c>
    </row>
    <row r="65" spans="1:8" x14ac:dyDescent="0.3">
      <c r="A65" s="1">
        <v>45260</v>
      </c>
      <c r="B65" t="s">
        <v>59</v>
      </c>
      <c r="C65" t="s">
        <v>28</v>
      </c>
      <c r="D65" t="s">
        <v>46</v>
      </c>
      <c r="E65" t="s">
        <v>54</v>
      </c>
      <c r="F65" t="s">
        <v>21</v>
      </c>
      <c r="G65" s="8">
        <v>300</v>
      </c>
      <c r="H65" t="s">
        <v>58</v>
      </c>
    </row>
    <row r="66" spans="1:8" x14ac:dyDescent="0.3">
      <c r="A66" s="1">
        <v>45260</v>
      </c>
      <c r="B66" t="s">
        <v>59</v>
      </c>
      <c r="C66" t="s">
        <v>30</v>
      </c>
      <c r="D66" t="s">
        <v>47</v>
      </c>
      <c r="E66" t="s">
        <v>54</v>
      </c>
      <c r="F66" t="s">
        <v>21</v>
      </c>
      <c r="G66" s="8">
        <v>130</v>
      </c>
      <c r="H66" t="s">
        <v>58</v>
      </c>
    </row>
    <row r="67" spans="1:8" x14ac:dyDescent="0.3">
      <c r="A67" s="1">
        <v>45260</v>
      </c>
      <c r="B67" t="s">
        <v>59</v>
      </c>
      <c r="C67" t="s">
        <v>10</v>
      </c>
      <c r="D67" t="s">
        <v>33</v>
      </c>
      <c r="E67" t="s">
        <v>54</v>
      </c>
      <c r="F67" t="s">
        <v>21</v>
      </c>
      <c r="G67" s="8">
        <v>55.9</v>
      </c>
      <c r="H67" t="s">
        <v>58</v>
      </c>
    </row>
    <row r="68" spans="1:8" x14ac:dyDescent="0.3">
      <c r="A68" s="1">
        <v>45260</v>
      </c>
      <c r="B68" t="s">
        <v>59</v>
      </c>
      <c r="C68" t="s">
        <v>12</v>
      </c>
      <c r="D68" t="s">
        <v>32</v>
      </c>
      <c r="E68" t="s">
        <v>54</v>
      </c>
      <c r="F68" t="s">
        <v>21</v>
      </c>
      <c r="G68" s="8">
        <v>600</v>
      </c>
      <c r="H68" t="s">
        <v>58</v>
      </c>
    </row>
    <row r="69" spans="1:8" x14ac:dyDescent="0.3">
      <c r="A69" s="1">
        <v>45260</v>
      </c>
      <c r="B69" t="s">
        <v>59</v>
      </c>
      <c r="C69" t="s">
        <v>8</v>
      </c>
      <c r="D69" t="s">
        <v>48</v>
      </c>
      <c r="E69" t="s">
        <v>54</v>
      </c>
      <c r="F69" t="s">
        <v>21</v>
      </c>
      <c r="G69" s="8">
        <v>125</v>
      </c>
      <c r="H69" t="s">
        <v>58</v>
      </c>
    </row>
    <row r="70" spans="1:8" x14ac:dyDescent="0.3">
      <c r="A70" s="1">
        <v>45260</v>
      </c>
      <c r="B70" t="s">
        <v>59</v>
      </c>
      <c r="C70" t="s">
        <v>15</v>
      </c>
      <c r="D70" t="s">
        <v>50</v>
      </c>
      <c r="E70" t="s">
        <v>55</v>
      </c>
      <c r="F70" t="s">
        <v>21</v>
      </c>
      <c r="G70" s="8">
        <v>50</v>
      </c>
      <c r="H70" t="s">
        <v>58</v>
      </c>
    </row>
    <row r="71" spans="1:8" x14ac:dyDescent="0.3">
      <c r="A71" s="1">
        <v>45260</v>
      </c>
      <c r="B71" t="s">
        <v>59</v>
      </c>
      <c r="C71" t="s">
        <v>29</v>
      </c>
      <c r="D71" t="s">
        <v>51</v>
      </c>
      <c r="E71" t="s">
        <v>55</v>
      </c>
      <c r="F71" t="s">
        <v>21</v>
      </c>
      <c r="G71" s="8">
        <v>100</v>
      </c>
      <c r="H71" t="s">
        <v>58</v>
      </c>
    </row>
    <row r="72" spans="1:8" x14ac:dyDescent="0.3">
      <c r="A72" s="1">
        <v>45260</v>
      </c>
      <c r="B72" t="s">
        <v>59</v>
      </c>
      <c r="C72" t="s">
        <v>7</v>
      </c>
      <c r="D72" t="s">
        <v>7</v>
      </c>
      <c r="E72" t="s">
        <v>54</v>
      </c>
      <c r="F72" t="s">
        <v>21</v>
      </c>
      <c r="G72" s="8">
        <v>150</v>
      </c>
      <c r="H72" t="s">
        <v>58</v>
      </c>
    </row>
    <row r="73" spans="1:8" x14ac:dyDescent="0.3">
      <c r="A73" s="1">
        <v>45260</v>
      </c>
      <c r="B73" t="s">
        <v>59</v>
      </c>
      <c r="C73" t="s">
        <v>31</v>
      </c>
      <c r="D73" t="s">
        <v>31</v>
      </c>
      <c r="E73" t="s">
        <v>56</v>
      </c>
      <c r="F73" t="s">
        <v>21</v>
      </c>
      <c r="G73" s="8">
        <v>120</v>
      </c>
      <c r="H73" t="s">
        <v>58</v>
      </c>
    </row>
    <row r="74" spans="1:8" x14ac:dyDescent="0.3">
      <c r="A74" s="1">
        <v>45260</v>
      </c>
      <c r="B74" t="s">
        <v>59</v>
      </c>
      <c r="C74" t="s">
        <v>11</v>
      </c>
      <c r="D74" t="s">
        <v>52</v>
      </c>
      <c r="E74" t="s">
        <v>56</v>
      </c>
      <c r="F74" t="s">
        <v>21</v>
      </c>
      <c r="G74" s="8">
        <v>130</v>
      </c>
      <c r="H74" t="s">
        <v>58</v>
      </c>
    </row>
    <row r="75" spans="1:8" x14ac:dyDescent="0.3">
      <c r="A75" s="1">
        <v>45290</v>
      </c>
      <c r="B75" t="s">
        <v>59</v>
      </c>
      <c r="C75" t="s">
        <v>27</v>
      </c>
      <c r="D75" t="s">
        <v>39</v>
      </c>
      <c r="E75" t="s">
        <v>54</v>
      </c>
      <c r="F75" t="s">
        <v>21</v>
      </c>
      <c r="G75" s="8">
        <f>16.98+5.32+0.37</f>
        <v>22.67</v>
      </c>
      <c r="H75" t="s">
        <v>58</v>
      </c>
    </row>
    <row r="76" spans="1:8" x14ac:dyDescent="0.3">
      <c r="A76" s="1">
        <v>45290</v>
      </c>
      <c r="B76" t="s">
        <v>59</v>
      </c>
      <c r="C76" t="s">
        <v>9</v>
      </c>
      <c r="D76" t="s">
        <v>44</v>
      </c>
      <c r="E76" t="s">
        <v>54</v>
      </c>
      <c r="F76" t="s">
        <v>21</v>
      </c>
      <c r="G76" s="8">
        <v>57.22</v>
      </c>
      <c r="H76" t="s">
        <v>58</v>
      </c>
    </row>
    <row r="77" spans="1:8" x14ac:dyDescent="0.3">
      <c r="A77" s="1">
        <v>45290</v>
      </c>
      <c r="B77" t="s">
        <v>59</v>
      </c>
      <c r="C77" t="s">
        <v>2</v>
      </c>
      <c r="D77" t="s">
        <v>45</v>
      </c>
      <c r="E77" t="s">
        <v>54</v>
      </c>
      <c r="F77" t="s">
        <v>21</v>
      </c>
      <c r="G77" s="8">
        <v>250</v>
      </c>
      <c r="H77" t="s">
        <v>58</v>
      </c>
    </row>
    <row r="78" spans="1:8" x14ac:dyDescent="0.3">
      <c r="A78" s="1">
        <v>45290</v>
      </c>
      <c r="B78" t="s">
        <v>59</v>
      </c>
      <c r="C78" t="s">
        <v>3</v>
      </c>
      <c r="D78" t="s">
        <v>49</v>
      </c>
      <c r="E78" t="s">
        <v>54</v>
      </c>
      <c r="F78" t="s">
        <v>21</v>
      </c>
      <c r="G78" s="8">
        <v>300</v>
      </c>
      <c r="H78" t="s">
        <v>58</v>
      </c>
    </row>
    <row r="79" spans="1:8" x14ac:dyDescent="0.3">
      <c r="A79" s="1">
        <v>45290</v>
      </c>
      <c r="B79" t="s">
        <v>59</v>
      </c>
      <c r="C79" t="s">
        <v>28</v>
      </c>
      <c r="D79" t="s">
        <v>46</v>
      </c>
      <c r="E79" t="s">
        <v>54</v>
      </c>
      <c r="F79" t="s">
        <v>21</v>
      </c>
      <c r="G79" s="8">
        <v>300</v>
      </c>
      <c r="H79" t="s">
        <v>58</v>
      </c>
    </row>
    <row r="80" spans="1:8" x14ac:dyDescent="0.3">
      <c r="A80" s="1">
        <v>45290</v>
      </c>
      <c r="B80" t="s">
        <v>59</v>
      </c>
      <c r="C80" t="s">
        <v>30</v>
      </c>
      <c r="D80" t="s">
        <v>47</v>
      </c>
      <c r="E80" t="s">
        <v>54</v>
      </c>
      <c r="F80" t="s">
        <v>21</v>
      </c>
      <c r="G80" s="8">
        <v>130</v>
      </c>
      <c r="H80" t="s">
        <v>58</v>
      </c>
    </row>
    <row r="81" spans="1:8" x14ac:dyDescent="0.3">
      <c r="A81" s="1">
        <v>45290</v>
      </c>
      <c r="B81" t="s">
        <v>59</v>
      </c>
      <c r="C81" t="s">
        <v>10</v>
      </c>
      <c r="D81" t="s">
        <v>33</v>
      </c>
      <c r="E81" t="s">
        <v>54</v>
      </c>
      <c r="F81" t="s">
        <v>21</v>
      </c>
      <c r="G81" s="8">
        <v>55.9</v>
      </c>
      <c r="H81" t="s">
        <v>58</v>
      </c>
    </row>
    <row r="82" spans="1:8" x14ac:dyDescent="0.3">
      <c r="A82" s="1">
        <v>45290</v>
      </c>
      <c r="B82" t="s">
        <v>59</v>
      </c>
      <c r="C82" t="s">
        <v>12</v>
      </c>
      <c r="D82" t="s">
        <v>32</v>
      </c>
      <c r="E82" t="s">
        <v>54</v>
      </c>
      <c r="F82" t="s">
        <v>21</v>
      </c>
      <c r="G82" s="8">
        <v>600</v>
      </c>
      <c r="H82" t="s">
        <v>58</v>
      </c>
    </row>
    <row r="83" spans="1:8" x14ac:dyDescent="0.3">
      <c r="A83" s="1">
        <v>45290</v>
      </c>
      <c r="B83" t="s">
        <v>59</v>
      </c>
      <c r="C83" t="s">
        <v>8</v>
      </c>
      <c r="D83" t="s">
        <v>48</v>
      </c>
      <c r="E83" t="s">
        <v>54</v>
      </c>
      <c r="F83" t="s">
        <v>21</v>
      </c>
      <c r="G83" s="8">
        <v>125</v>
      </c>
      <c r="H83" t="s">
        <v>58</v>
      </c>
    </row>
    <row r="84" spans="1:8" x14ac:dyDescent="0.3">
      <c r="A84" s="1">
        <v>45290</v>
      </c>
      <c r="B84" t="s">
        <v>59</v>
      </c>
      <c r="C84" t="s">
        <v>15</v>
      </c>
      <c r="D84" t="s">
        <v>50</v>
      </c>
      <c r="E84" t="s">
        <v>55</v>
      </c>
      <c r="F84" t="s">
        <v>21</v>
      </c>
      <c r="G84" s="8">
        <v>50</v>
      </c>
      <c r="H84" t="s">
        <v>58</v>
      </c>
    </row>
    <row r="85" spans="1:8" x14ac:dyDescent="0.3">
      <c r="A85" s="1">
        <v>45290</v>
      </c>
      <c r="B85" t="s">
        <v>59</v>
      </c>
      <c r="C85" t="s">
        <v>29</v>
      </c>
      <c r="D85" t="s">
        <v>51</v>
      </c>
      <c r="E85" t="s">
        <v>55</v>
      </c>
      <c r="F85" t="s">
        <v>21</v>
      </c>
      <c r="G85" s="8">
        <v>100</v>
      </c>
      <c r="H85" t="s">
        <v>58</v>
      </c>
    </row>
    <row r="86" spans="1:8" x14ac:dyDescent="0.3">
      <c r="A86" s="1">
        <v>45290</v>
      </c>
      <c r="B86" t="s">
        <v>59</v>
      </c>
      <c r="C86" t="s">
        <v>7</v>
      </c>
      <c r="D86" t="s">
        <v>7</v>
      </c>
      <c r="E86" t="s">
        <v>54</v>
      </c>
      <c r="F86" t="s">
        <v>21</v>
      </c>
      <c r="G86" s="8">
        <v>150</v>
      </c>
      <c r="H86" t="s">
        <v>58</v>
      </c>
    </row>
    <row r="87" spans="1:8" x14ac:dyDescent="0.3">
      <c r="A87" s="1">
        <v>45290</v>
      </c>
      <c r="B87" t="s">
        <v>59</v>
      </c>
      <c r="C87" t="s">
        <v>31</v>
      </c>
      <c r="D87" t="s">
        <v>31</v>
      </c>
      <c r="E87" t="s">
        <v>56</v>
      </c>
      <c r="F87" t="s">
        <v>21</v>
      </c>
      <c r="G87" s="8">
        <v>120</v>
      </c>
      <c r="H87" t="s">
        <v>58</v>
      </c>
    </row>
    <row r="88" spans="1:8" x14ac:dyDescent="0.3">
      <c r="A88" s="1">
        <v>45290</v>
      </c>
      <c r="B88" t="s">
        <v>59</v>
      </c>
      <c r="C88" t="s">
        <v>11</v>
      </c>
      <c r="D88" t="s">
        <v>52</v>
      </c>
      <c r="E88" t="s">
        <v>56</v>
      </c>
      <c r="F88" t="s">
        <v>21</v>
      </c>
      <c r="G88" s="8">
        <v>130</v>
      </c>
      <c r="H88" t="s">
        <v>58</v>
      </c>
    </row>
    <row r="89" spans="1:8" x14ac:dyDescent="0.3">
      <c r="A89" s="1">
        <v>45114</v>
      </c>
      <c r="B89" t="s">
        <v>59</v>
      </c>
      <c r="C89" t="s">
        <v>13</v>
      </c>
      <c r="D89" t="s">
        <v>13</v>
      </c>
      <c r="E89" t="s">
        <v>54</v>
      </c>
      <c r="F89" t="s">
        <v>20</v>
      </c>
      <c r="G89" s="8">
        <v>30</v>
      </c>
      <c r="H89" t="s">
        <v>57</v>
      </c>
    </row>
    <row r="90" spans="1:8" x14ac:dyDescent="0.3">
      <c r="A90" s="1">
        <v>45120</v>
      </c>
      <c r="B90" t="s">
        <v>59</v>
      </c>
      <c r="C90" t="s">
        <v>35</v>
      </c>
      <c r="D90" t="s">
        <v>43</v>
      </c>
      <c r="E90" t="s">
        <v>54</v>
      </c>
      <c r="F90" t="s">
        <v>20</v>
      </c>
      <c r="G90" s="8">
        <v>50</v>
      </c>
      <c r="H90" t="s">
        <v>57</v>
      </c>
    </row>
    <row r="91" spans="1:8" x14ac:dyDescent="0.3">
      <c r="A91" s="1">
        <v>45143</v>
      </c>
      <c r="B91" t="s">
        <v>59</v>
      </c>
      <c r="C91" t="s">
        <v>13</v>
      </c>
      <c r="D91" t="s">
        <v>13</v>
      </c>
      <c r="E91" t="s">
        <v>54</v>
      </c>
      <c r="F91" t="s">
        <v>20</v>
      </c>
      <c r="G91" s="8">
        <v>30</v>
      </c>
      <c r="H91" t="s">
        <v>57</v>
      </c>
    </row>
    <row r="92" spans="1:8" x14ac:dyDescent="0.3">
      <c r="A92" s="1">
        <v>45143</v>
      </c>
      <c r="B92" t="s">
        <v>59</v>
      </c>
      <c r="C92" t="s">
        <v>35</v>
      </c>
      <c r="D92" t="s">
        <v>43</v>
      </c>
      <c r="E92" t="s">
        <v>54</v>
      </c>
      <c r="F92" t="s">
        <v>20</v>
      </c>
      <c r="G92" s="8">
        <v>50</v>
      </c>
      <c r="H92" t="s">
        <v>57</v>
      </c>
    </row>
    <row r="93" spans="1:8" x14ac:dyDescent="0.3">
      <c r="A93" s="1">
        <v>45172</v>
      </c>
      <c r="B93" t="s">
        <v>59</v>
      </c>
      <c r="C93" t="s">
        <v>13</v>
      </c>
      <c r="D93" t="s">
        <v>13</v>
      </c>
      <c r="E93" t="s">
        <v>54</v>
      </c>
      <c r="F93" t="s">
        <v>20</v>
      </c>
      <c r="G93" s="8">
        <v>30</v>
      </c>
      <c r="H93" t="s">
        <v>57</v>
      </c>
    </row>
    <row r="94" spans="1:8" x14ac:dyDescent="0.3">
      <c r="A94" s="1">
        <v>45174</v>
      </c>
      <c r="B94" t="s">
        <v>59</v>
      </c>
      <c r="C94" t="s">
        <v>35</v>
      </c>
      <c r="D94" t="s">
        <v>43</v>
      </c>
      <c r="E94" t="s">
        <v>54</v>
      </c>
      <c r="F94" t="s">
        <v>20</v>
      </c>
      <c r="G94" s="8">
        <v>50</v>
      </c>
      <c r="H94" t="s">
        <v>57</v>
      </c>
    </row>
    <row r="95" spans="1:8" x14ac:dyDescent="0.3">
      <c r="A95" s="1">
        <v>45229</v>
      </c>
      <c r="B95" t="s">
        <v>59</v>
      </c>
      <c r="C95" t="s">
        <v>13</v>
      </c>
      <c r="D95" t="s">
        <v>13</v>
      </c>
      <c r="E95" t="s">
        <v>54</v>
      </c>
      <c r="F95" t="s">
        <v>20</v>
      </c>
      <c r="G95" s="8">
        <v>30</v>
      </c>
      <c r="H95" t="s">
        <v>57</v>
      </c>
    </row>
    <row r="96" spans="1:8" x14ac:dyDescent="0.3">
      <c r="A96" s="1">
        <v>45229</v>
      </c>
      <c r="B96" t="s">
        <v>59</v>
      </c>
      <c r="C96" t="s">
        <v>35</v>
      </c>
      <c r="D96" t="s">
        <v>43</v>
      </c>
      <c r="E96" t="s">
        <v>54</v>
      </c>
      <c r="F96" t="s">
        <v>20</v>
      </c>
      <c r="G96" s="8">
        <v>50</v>
      </c>
      <c r="H96" t="s">
        <v>57</v>
      </c>
    </row>
    <row r="97" spans="1:8" x14ac:dyDescent="0.3">
      <c r="A97" s="1">
        <v>45260</v>
      </c>
      <c r="B97" t="s">
        <v>59</v>
      </c>
      <c r="C97" t="s">
        <v>13</v>
      </c>
      <c r="D97" t="s">
        <v>13</v>
      </c>
      <c r="E97" t="s">
        <v>54</v>
      </c>
      <c r="F97" t="s">
        <v>20</v>
      </c>
      <c r="G97" s="8">
        <v>30</v>
      </c>
      <c r="H97" t="s">
        <v>58</v>
      </c>
    </row>
    <row r="98" spans="1:8" x14ac:dyDescent="0.3">
      <c r="A98" s="1">
        <v>45260</v>
      </c>
      <c r="B98" t="s">
        <v>59</v>
      </c>
      <c r="C98" t="s">
        <v>35</v>
      </c>
      <c r="D98" t="s">
        <v>43</v>
      </c>
      <c r="E98" t="s">
        <v>54</v>
      </c>
      <c r="F98" t="s">
        <v>20</v>
      </c>
      <c r="G98" s="8">
        <v>50</v>
      </c>
      <c r="H98" t="s">
        <v>58</v>
      </c>
    </row>
    <row r="99" spans="1:8" x14ac:dyDescent="0.3">
      <c r="A99" s="1">
        <v>45290</v>
      </c>
      <c r="B99" t="s">
        <v>59</v>
      </c>
      <c r="C99" t="s">
        <v>13</v>
      </c>
      <c r="D99" t="s">
        <v>13</v>
      </c>
      <c r="E99" t="s">
        <v>54</v>
      </c>
      <c r="F99" t="s">
        <v>20</v>
      </c>
      <c r="G99" s="8">
        <v>30</v>
      </c>
      <c r="H99" t="s">
        <v>58</v>
      </c>
    </row>
    <row r="100" spans="1:8" x14ac:dyDescent="0.3">
      <c r="A100" s="1">
        <v>45290</v>
      </c>
      <c r="B100" t="s">
        <v>59</v>
      </c>
      <c r="C100" t="s">
        <v>35</v>
      </c>
      <c r="D100" t="s">
        <v>43</v>
      </c>
      <c r="E100" t="s">
        <v>54</v>
      </c>
      <c r="F100" t="s">
        <v>20</v>
      </c>
      <c r="G100" s="8">
        <v>50</v>
      </c>
      <c r="H100" t="s">
        <v>58</v>
      </c>
    </row>
    <row r="101" spans="1:8" x14ac:dyDescent="0.3">
      <c r="A101" s="1">
        <v>45108</v>
      </c>
      <c r="B101" t="s">
        <v>4</v>
      </c>
      <c r="C101" t="s">
        <v>36</v>
      </c>
      <c r="D101" t="s">
        <v>40</v>
      </c>
      <c r="E101" t="s">
        <v>54</v>
      </c>
      <c r="F101" t="s">
        <v>24</v>
      </c>
      <c r="G101" s="2">
        <v>300</v>
      </c>
      <c r="H101" t="s">
        <v>57</v>
      </c>
    </row>
    <row r="102" spans="1:8" x14ac:dyDescent="0.3">
      <c r="A102" s="1">
        <v>45122</v>
      </c>
      <c r="B102" t="s">
        <v>4</v>
      </c>
      <c r="C102" t="s">
        <v>5</v>
      </c>
      <c r="D102" t="s">
        <v>25</v>
      </c>
      <c r="E102" t="s">
        <v>54</v>
      </c>
      <c r="F102" t="s">
        <v>24</v>
      </c>
      <c r="G102" s="2">
        <v>1000</v>
      </c>
      <c r="H102" t="s">
        <v>57</v>
      </c>
    </row>
    <row r="103" spans="1:8" x14ac:dyDescent="0.3">
      <c r="A103" s="1">
        <v>45137</v>
      </c>
      <c r="B103" t="s">
        <v>4</v>
      </c>
      <c r="C103" t="s">
        <v>5</v>
      </c>
      <c r="D103" s="4" t="s">
        <v>23</v>
      </c>
      <c r="E103" t="s">
        <v>54</v>
      </c>
      <c r="F103" t="s">
        <v>24</v>
      </c>
      <c r="G103" s="2">
        <v>1500</v>
      </c>
      <c r="H103" t="s">
        <v>57</v>
      </c>
    </row>
    <row r="104" spans="1:8" x14ac:dyDescent="0.3">
      <c r="A104" s="1">
        <v>45153</v>
      </c>
      <c r="B104" t="s">
        <v>4</v>
      </c>
      <c r="C104" t="s">
        <v>5</v>
      </c>
      <c r="D104" t="s">
        <v>25</v>
      </c>
      <c r="E104" t="s">
        <v>54</v>
      </c>
      <c r="F104" t="s">
        <v>24</v>
      </c>
      <c r="G104" s="2">
        <v>1000</v>
      </c>
      <c r="H104" t="s">
        <v>57</v>
      </c>
    </row>
    <row r="105" spans="1:8" x14ac:dyDescent="0.3">
      <c r="A105" s="1">
        <v>45169</v>
      </c>
      <c r="B105" t="s">
        <v>4</v>
      </c>
      <c r="C105" t="s">
        <v>5</v>
      </c>
      <c r="D105" s="4" t="s">
        <v>23</v>
      </c>
      <c r="E105" t="s">
        <v>54</v>
      </c>
      <c r="F105" t="s">
        <v>24</v>
      </c>
      <c r="G105" s="2">
        <v>1500</v>
      </c>
      <c r="H105" t="s">
        <v>57</v>
      </c>
    </row>
    <row r="106" spans="1:8" x14ac:dyDescent="0.3">
      <c r="A106" s="1">
        <v>45184</v>
      </c>
      <c r="B106" t="s">
        <v>4</v>
      </c>
      <c r="C106" t="s">
        <v>5</v>
      </c>
      <c r="D106" t="s">
        <v>25</v>
      </c>
      <c r="E106" t="s">
        <v>54</v>
      </c>
      <c r="F106" t="s">
        <v>24</v>
      </c>
      <c r="G106" s="2">
        <v>1000</v>
      </c>
      <c r="H106" t="s">
        <v>57</v>
      </c>
    </row>
    <row r="107" spans="1:8" x14ac:dyDescent="0.3">
      <c r="A107" s="1">
        <v>45199</v>
      </c>
      <c r="B107" t="s">
        <v>4</v>
      </c>
      <c r="C107" t="s">
        <v>5</v>
      </c>
      <c r="D107" s="4" t="s">
        <v>23</v>
      </c>
      <c r="E107" t="s">
        <v>54</v>
      </c>
      <c r="F107" t="s">
        <v>24</v>
      </c>
      <c r="G107" s="2">
        <v>1500</v>
      </c>
      <c r="H107" t="s">
        <v>57</v>
      </c>
    </row>
    <row r="108" spans="1:8" x14ac:dyDescent="0.3">
      <c r="A108" s="1">
        <v>45214</v>
      </c>
      <c r="B108" t="s">
        <v>4</v>
      </c>
      <c r="C108" t="s">
        <v>5</v>
      </c>
      <c r="D108" t="s">
        <v>25</v>
      </c>
      <c r="E108" t="s">
        <v>54</v>
      </c>
      <c r="F108" t="s">
        <v>24</v>
      </c>
      <c r="G108" s="2">
        <v>1000</v>
      </c>
      <c r="H108" t="s">
        <v>57</v>
      </c>
    </row>
    <row r="109" spans="1:8" x14ac:dyDescent="0.3">
      <c r="A109" s="1">
        <v>45229</v>
      </c>
      <c r="B109" t="s">
        <v>4</v>
      </c>
      <c r="C109" t="s">
        <v>5</v>
      </c>
      <c r="D109" s="4" t="s">
        <v>23</v>
      </c>
      <c r="E109" t="s">
        <v>54</v>
      </c>
      <c r="F109" t="s">
        <v>24</v>
      </c>
      <c r="G109" s="2">
        <v>1500</v>
      </c>
      <c r="H109" t="s">
        <v>57</v>
      </c>
    </row>
    <row r="110" spans="1:8" x14ac:dyDescent="0.3">
      <c r="A110" s="1">
        <v>45245</v>
      </c>
      <c r="B110" t="s">
        <v>4</v>
      </c>
      <c r="C110" t="s">
        <v>5</v>
      </c>
      <c r="D110" t="s">
        <v>25</v>
      </c>
      <c r="E110" t="s">
        <v>54</v>
      </c>
      <c r="F110" t="s">
        <v>24</v>
      </c>
      <c r="G110" s="2">
        <v>1000</v>
      </c>
      <c r="H110" t="s">
        <v>58</v>
      </c>
    </row>
    <row r="111" spans="1:8" x14ac:dyDescent="0.3">
      <c r="A111" s="1">
        <v>45260</v>
      </c>
      <c r="B111" t="s">
        <v>4</v>
      </c>
      <c r="C111" t="s">
        <v>5</v>
      </c>
      <c r="D111" s="4" t="s">
        <v>23</v>
      </c>
      <c r="E111" t="s">
        <v>54</v>
      </c>
      <c r="F111" t="s">
        <v>24</v>
      </c>
      <c r="G111" s="2">
        <v>1500</v>
      </c>
      <c r="H111" t="s">
        <v>58</v>
      </c>
    </row>
    <row r="112" spans="1:8" x14ac:dyDescent="0.3">
      <c r="A112" s="9">
        <v>45270</v>
      </c>
      <c r="B112" t="s">
        <v>4</v>
      </c>
      <c r="C112" s="11" t="s">
        <v>36</v>
      </c>
      <c r="D112" s="10" t="s">
        <v>37</v>
      </c>
      <c r="E112" s="11" t="s">
        <v>54</v>
      </c>
      <c r="F112" s="11" t="s">
        <v>24</v>
      </c>
      <c r="G112" s="12">
        <v>2500</v>
      </c>
      <c r="H112" t="s">
        <v>58</v>
      </c>
    </row>
    <row r="113" spans="1:8" x14ac:dyDescent="0.3">
      <c r="A113" s="1">
        <v>45275</v>
      </c>
      <c r="B113" t="s">
        <v>4</v>
      </c>
      <c r="C113" t="s">
        <v>5</v>
      </c>
      <c r="D113" t="s">
        <v>25</v>
      </c>
      <c r="E113" t="s">
        <v>54</v>
      </c>
      <c r="F113" t="s">
        <v>24</v>
      </c>
      <c r="G113" s="2">
        <v>1000</v>
      </c>
      <c r="H113" t="s">
        <v>58</v>
      </c>
    </row>
    <row r="114" spans="1:8" x14ac:dyDescent="0.3">
      <c r="A114" s="9">
        <v>45280</v>
      </c>
      <c r="B114" t="s">
        <v>4</v>
      </c>
      <c r="C114" s="11" t="s">
        <v>6</v>
      </c>
      <c r="D114" s="11" t="s">
        <v>38</v>
      </c>
      <c r="E114" s="11" t="s">
        <v>54</v>
      </c>
      <c r="F114" s="11" t="s">
        <v>24</v>
      </c>
      <c r="G114" s="12">
        <v>2500</v>
      </c>
      <c r="H114" t="s">
        <v>58</v>
      </c>
    </row>
    <row r="115" spans="1:8" x14ac:dyDescent="0.3">
      <c r="A115" s="1">
        <v>45290</v>
      </c>
      <c r="B115" t="s">
        <v>4</v>
      </c>
      <c r="C115" t="s">
        <v>5</v>
      </c>
      <c r="D115" s="4" t="s">
        <v>23</v>
      </c>
      <c r="E115" t="s">
        <v>54</v>
      </c>
      <c r="F115" t="s">
        <v>24</v>
      </c>
      <c r="G115" s="2">
        <v>1500</v>
      </c>
      <c r="H115" t="s">
        <v>58</v>
      </c>
    </row>
    <row r="116" spans="1:8" x14ac:dyDescent="0.3">
      <c r="A116" s="1">
        <v>45306</v>
      </c>
      <c r="B116" t="s">
        <v>4</v>
      </c>
      <c r="C116" t="s">
        <v>5</v>
      </c>
      <c r="D116" t="s">
        <v>25</v>
      </c>
      <c r="E116" t="s">
        <v>54</v>
      </c>
      <c r="F116" t="s">
        <v>24</v>
      </c>
      <c r="G116" s="2">
        <v>1000</v>
      </c>
      <c r="H116" t="s">
        <v>58</v>
      </c>
    </row>
    <row r="117" spans="1:8" x14ac:dyDescent="0.3">
      <c r="A117" s="1">
        <v>45321</v>
      </c>
      <c r="B117" t="s">
        <v>4</v>
      </c>
      <c r="C117" t="s">
        <v>5</v>
      </c>
      <c r="D117" s="4" t="s">
        <v>23</v>
      </c>
      <c r="E117" t="s">
        <v>54</v>
      </c>
      <c r="F117" t="s">
        <v>24</v>
      </c>
      <c r="G117" s="2">
        <v>1500</v>
      </c>
      <c r="H117" t="s">
        <v>58</v>
      </c>
    </row>
    <row r="118" spans="1:8" x14ac:dyDescent="0.3">
      <c r="A118" s="1">
        <v>45337</v>
      </c>
      <c r="B118" t="s">
        <v>4</v>
      </c>
      <c r="C118" t="s">
        <v>5</v>
      </c>
      <c r="D118" t="s">
        <v>25</v>
      </c>
      <c r="E118" t="s">
        <v>54</v>
      </c>
      <c r="F118" t="s">
        <v>24</v>
      </c>
      <c r="G118" s="2">
        <v>1000</v>
      </c>
      <c r="H118" t="s">
        <v>58</v>
      </c>
    </row>
    <row r="119" spans="1:8" x14ac:dyDescent="0.3">
      <c r="A119" s="1">
        <v>45350</v>
      </c>
      <c r="B119" t="s">
        <v>4</v>
      </c>
      <c r="C119" t="s">
        <v>5</v>
      </c>
      <c r="D119" s="4" t="s">
        <v>23</v>
      </c>
      <c r="E119" t="s">
        <v>54</v>
      </c>
      <c r="F119" t="s">
        <v>24</v>
      </c>
      <c r="G119" s="2">
        <v>1500</v>
      </c>
      <c r="H119" t="s">
        <v>58</v>
      </c>
    </row>
    <row r="120" spans="1:8" x14ac:dyDescent="0.3">
      <c r="A120" s="1">
        <v>45366</v>
      </c>
      <c r="B120" t="s">
        <v>4</v>
      </c>
      <c r="C120" t="s">
        <v>5</v>
      </c>
      <c r="D120" t="s">
        <v>25</v>
      </c>
      <c r="E120" t="s">
        <v>54</v>
      </c>
      <c r="F120" t="s">
        <v>24</v>
      </c>
      <c r="G120" s="2">
        <v>1000</v>
      </c>
      <c r="H120" t="s">
        <v>58</v>
      </c>
    </row>
    <row r="121" spans="1:8" x14ac:dyDescent="0.3">
      <c r="A121" s="1">
        <v>45381</v>
      </c>
      <c r="B121" t="s">
        <v>4</v>
      </c>
      <c r="C121" t="s">
        <v>5</v>
      </c>
      <c r="D121" s="4" t="s">
        <v>23</v>
      </c>
      <c r="E121" t="s">
        <v>54</v>
      </c>
      <c r="F121" t="s">
        <v>24</v>
      </c>
      <c r="G121" s="2">
        <v>1500</v>
      </c>
      <c r="H121" t="s">
        <v>58</v>
      </c>
    </row>
    <row r="122" spans="1:8" x14ac:dyDescent="0.3">
      <c r="A122" s="1">
        <v>45397</v>
      </c>
      <c r="B122" t="s">
        <v>4</v>
      </c>
      <c r="C122" t="s">
        <v>5</v>
      </c>
      <c r="D122" t="s">
        <v>25</v>
      </c>
      <c r="E122" t="s">
        <v>54</v>
      </c>
      <c r="F122" t="s">
        <v>24</v>
      </c>
      <c r="G122" s="2">
        <v>1000</v>
      </c>
      <c r="H122" t="s">
        <v>58</v>
      </c>
    </row>
    <row r="123" spans="1:8" x14ac:dyDescent="0.3">
      <c r="A123" s="1">
        <v>45412</v>
      </c>
      <c r="B123" t="s">
        <v>4</v>
      </c>
      <c r="C123" t="s">
        <v>5</v>
      </c>
      <c r="D123" s="4" t="s">
        <v>23</v>
      </c>
      <c r="E123" t="s">
        <v>54</v>
      </c>
      <c r="F123" t="s">
        <v>24</v>
      </c>
      <c r="G123" s="2">
        <v>1500</v>
      </c>
      <c r="H123" t="s">
        <v>58</v>
      </c>
    </row>
    <row r="124" spans="1:8" x14ac:dyDescent="0.3">
      <c r="A124" s="1">
        <v>45427</v>
      </c>
      <c r="B124" t="s">
        <v>4</v>
      </c>
      <c r="C124" t="s">
        <v>5</v>
      </c>
      <c r="D124" t="s">
        <v>25</v>
      </c>
      <c r="E124" t="s">
        <v>54</v>
      </c>
      <c r="F124" t="s">
        <v>24</v>
      </c>
      <c r="G124" s="2">
        <v>1000</v>
      </c>
      <c r="H124" t="s">
        <v>58</v>
      </c>
    </row>
    <row r="125" spans="1:8" x14ac:dyDescent="0.3">
      <c r="A125" s="1">
        <v>45442</v>
      </c>
      <c r="B125" t="s">
        <v>4</v>
      </c>
      <c r="C125" t="s">
        <v>5</v>
      </c>
      <c r="D125" s="4" t="s">
        <v>23</v>
      </c>
      <c r="E125" t="s">
        <v>54</v>
      </c>
      <c r="F125" t="s">
        <v>24</v>
      </c>
      <c r="G125" s="2">
        <v>1500</v>
      </c>
      <c r="H125" t="s">
        <v>58</v>
      </c>
    </row>
    <row r="126" spans="1:8" x14ac:dyDescent="0.3">
      <c r="A126" s="1">
        <v>45458</v>
      </c>
      <c r="B126" t="s">
        <v>4</v>
      </c>
      <c r="C126" t="s">
        <v>5</v>
      </c>
      <c r="D126" t="s">
        <v>25</v>
      </c>
      <c r="E126" t="s">
        <v>54</v>
      </c>
      <c r="F126" t="s">
        <v>24</v>
      </c>
      <c r="G126" s="2">
        <v>1000</v>
      </c>
      <c r="H126" t="s">
        <v>58</v>
      </c>
    </row>
    <row r="127" spans="1:8" x14ac:dyDescent="0.3">
      <c r="A127" s="1">
        <v>45473</v>
      </c>
      <c r="B127" t="s">
        <v>4</v>
      </c>
      <c r="C127" t="s">
        <v>5</v>
      </c>
      <c r="D127" s="4" t="s">
        <v>23</v>
      </c>
      <c r="E127" t="s">
        <v>54</v>
      </c>
      <c r="F127" t="s">
        <v>24</v>
      </c>
      <c r="G127" s="2">
        <v>1500</v>
      </c>
      <c r="H127" t="s">
        <v>58</v>
      </c>
    </row>
    <row r="128" spans="1:8" x14ac:dyDescent="0.3">
      <c r="A128" s="1">
        <v>45473</v>
      </c>
      <c r="B128" t="s">
        <v>4</v>
      </c>
      <c r="C128" t="s">
        <v>5</v>
      </c>
      <c r="D128" s="4" t="s">
        <v>23</v>
      </c>
      <c r="E128" t="s">
        <v>54</v>
      </c>
      <c r="F128" t="s">
        <v>24</v>
      </c>
      <c r="G128" s="2">
        <v>1500</v>
      </c>
      <c r="H128" t="s">
        <v>58</v>
      </c>
    </row>
    <row r="129" spans="1:8" x14ac:dyDescent="0.3">
      <c r="A129" s="1">
        <v>45488</v>
      </c>
      <c r="B129" t="s">
        <v>4</v>
      </c>
      <c r="C129" t="s">
        <v>5</v>
      </c>
      <c r="D129" t="s">
        <v>25</v>
      </c>
      <c r="E129" t="s">
        <v>54</v>
      </c>
      <c r="F129" t="s">
        <v>24</v>
      </c>
      <c r="G129" s="2">
        <v>1000</v>
      </c>
      <c r="H129" t="s">
        <v>58</v>
      </c>
    </row>
    <row r="130" spans="1:8" x14ac:dyDescent="0.3">
      <c r="A130" s="1">
        <v>45503</v>
      </c>
      <c r="B130" t="s">
        <v>4</v>
      </c>
      <c r="C130" t="s">
        <v>5</v>
      </c>
      <c r="D130" s="4" t="s">
        <v>23</v>
      </c>
      <c r="E130" t="s">
        <v>54</v>
      </c>
      <c r="F130" t="s">
        <v>24</v>
      </c>
      <c r="G130" s="2">
        <v>1500</v>
      </c>
      <c r="H130" t="s">
        <v>58</v>
      </c>
    </row>
    <row r="131" spans="1:8" x14ac:dyDescent="0.3">
      <c r="A131" s="1">
        <v>45519</v>
      </c>
      <c r="B131" t="s">
        <v>4</v>
      </c>
      <c r="C131" t="s">
        <v>5</v>
      </c>
      <c r="D131" t="s">
        <v>25</v>
      </c>
      <c r="E131" t="s">
        <v>54</v>
      </c>
      <c r="F131" t="s">
        <v>24</v>
      </c>
      <c r="G131" s="2">
        <v>1000</v>
      </c>
      <c r="H131" t="s">
        <v>58</v>
      </c>
    </row>
    <row r="132" spans="1:8" x14ac:dyDescent="0.3">
      <c r="A132" s="1">
        <v>45534</v>
      </c>
      <c r="B132" t="s">
        <v>4</v>
      </c>
      <c r="C132" t="s">
        <v>5</v>
      </c>
      <c r="D132" s="4" t="s">
        <v>23</v>
      </c>
      <c r="E132" t="s">
        <v>54</v>
      </c>
      <c r="F132" t="s">
        <v>24</v>
      </c>
      <c r="G132" s="2">
        <v>1500</v>
      </c>
      <c r="H132" t="s">
        <v>58</v>
      </c>
    </row>
    <row r="133" spans="1:8" x14ac:dyDescent="0.3">
      <c r="A133" s="1">
        <v>45550</v>
      </c>
      <c r="B133" t="s">
        <v>4</v>
      </c>
      <c r="C133" t="s">
        <v>5</v>
      </c>
      <c r="D133" t="s">
        <v>25</v>
      </c>
      <c r="E133" t="s">
        <v>54</v>
      </c>
      <c r="F133" t="s">
        <v>24</v>
      </c>
      <c r="G133" s="2">
        <v>1000</v>
      </c>
      <c r="H133" t="s">
        <v>58</v>
      </c>
    </row>
    <row r="134" spans="1:8" x14ac:dyDescent="0.3">
      <c r="A134" s="1">
        <v>45565</v>
      </c>
      <c r="B134" t="s">
        <v>4</v>
      </c>
      <c r="C134" t="s">
        <v>5</v>
      </c>
      <c r="D134" s="4" t="s">
        <v>23</v>
      </c>
      <c r="E134" t="s">
        <v>54</v>
      </c>
      <c r="F134" t="s">
        <v>24</v>
      </c>
      <c r="G134" s="2">
        <v>1500</v>
      </c>
      <c r="H134" t="s">
        <v>58</v>
      </c>
    </row>
    <row r="135" spans="1:8" x14ac:dyDescent="0.3">
      <c r="A135" s="1">
        <v>45580</v>
      </c>
      <c r="B135" t="s">
        <v>4</v>
      </c>
      <c r="C135" t="s">
        <v>5</v>
      </c>
      <c r="D135" t="s">
        <v>25</v>
      </c>
      <c r="E135" t="s">
        <v>54</v>
      </c>
      <c r="F135" t="s">
        <v>24</v>
      </c>
      <c r="G135" s="2">
        <v>1000</v>
      </c>
      <c r="H135" t="s">
        <v>58</v>
      </c>
    </row>
    <row r="136" spans="1:8" x14ac:dyDescent="0.3">
      <c r="A136" s="1">
        <v>45595</v>
      </c>
      <c r="B136" t="s">
        <v>4</v>
      </c>
      <c r="C136" t="s">
        <v>5</v>
      </c>
      <c r="D136" s="4" t="s">
        <v>23</v>
      </c>
      <c r="E136" t="s">
        <v>54</v>
      </c>
      <c r="F136" t="s">
        <v>24</v>
      </c>
      <c r="G136" s="2">
        <v>1500</v>
      </c>
      <c r="H136" t="s">
        <v>58</v>
      </c>
    </row>
    <row r="137" spans="1:8" x14ac:dyDescent="0.3">
      <c r="A137" s="1">
        <v>45611</v>
      </c>
      <c r="B137" t="s">
        <v>4</v>
      </c>
      <c r="C137" t="s">
        <v>5</v>
      </c>
      <c r="D137" t="s">
        <v>25</v>
      </c>
      <c r="E137" t="s">
        <v>54</v>
      </c>
      <c r="F137" t="s">
        <v>24</v>
      </c>
      <c r="G137" s="2">
        <v>1000</v>
      </c>
      <c r="H137" t="s">
        <v>58</v>
      </c>
    </row>
    <row r="138" spans="1:8" x14ac:dyDescent="0.3">
      <c r="A138" s="1">
        <v>45626</v>
      </c>
      <c r="B138" t="s">
        <v>4</v>
      </c>
      <c r="C138" t="s">
        <v>5</v>
      </c>
      <c r="D138" s="4" t="s">
        <v>23</v>
      </c>
      <c r="E138" t="s">
        <v>54</v>
      </c>
      <c r="F138" t="s">
        <v>24</v>
      </c>
      <c r="G138" s="2">
        <v>1500</v>
      </c>
      <c r="H138" t="s">
        <v>58</v>
      </c>
    </row>
    <row r="139" spans="1:8" x14ac:dyDescent="0.3">
      <c r="A139" s="9">
        <v>45636</v>
      </c>
      <c r="B139" t="s">
        <v>4</v>
      </c>
      <c r="C139" s="11" t="s">
        <v>36</v>
      </c>
      <c r="D139" s="10" t="s">
        <v>37</v>
      </c>
      <c r="E139" s="11" t="s">
        <v>54</v>
      </c>
      <c r="F139" s="11" t="s">
        <v>24</v>
      </c>
      <c r="G139" s="12">
        <v>2500</v>
      </c>
      <c r="H139" t="s">
        <v>58</v>
      </c>
    </row>
    <row r="140" spans="1:8" x14ac:dyDescent="0.3">
      <c r="A140" s="1">
        <v>45641</v>
      </c>
      <c r="B140" t="s">
        <v>4</v>
      </c>
      <c r="C140" t="s">
        <v>5</v>
      </c>
      <c r="D140" t="s">
        <v>25</v>
      </c>
      <c r="E140" t="s">
        <v>54</v>
      </c>
      <c r="F140" t="s">
        <v>24</v>
      </c>
      <c r="G140" s="2">
        <v>1000</v>
      </c>
      <c r="H140" t="s">
        <v>58</v>
      </c>
    </row>
    <row r="141" spans="1:8" x14ac:dyDescent="0.3">
      <c r="A141" s="9">
        <v>45646</v>
      </c>
      <c r="B141" t="s">
        <v>4</v>
      </c>
      <c r="C141" s="11" t="s">
        <v>6</v>
      </c>
      <c r="D141" s="11" t="s">
        <v>38</v>
      </c>
      <c r="E141" s="11" t="s">
        <v>54</v>
      </c>
      <c r="F141" s="11" t="s">
        <v>24</v>
      </c>
      <c r="G141" s="12">
        <v>2500</v>
      </c>
      <c r="H141" t="s">
        <v>58</v>
      </c>
    </row>
    <row r="142" spans="1:8" x14ac:dyDescent="0.3">
      <c r="A142" s="1">
        <v>45656</v>
      </c>
      <c r="B142" t="s">
        <v>4</v>
      </c>
      <c r="C142" t="s">
        <v>5</v>
      </c>
      <c r="D142" s="4" t="s">
        <v>23</v>
      </c>
      <c r="E142" t="s">
        <v>54</v>
      </c>
      <c r="F142" t="s">
        <v>24</v>
      </c>
      <c r="G142" s="2">
        <v>1500</v>
      </c>
      <c r="H142" t="s">
        <v>58</v>
      </c>
    </row>
  </sheetData>
  <autoFilter ref="A1:H142" xr:uid="{9FEA7508-F82F-43B9-B33C-BB6354436EC5}"/>
  <sortState xmlns:xlrd2="http://schemas.microsoft.com/office/spreadsheetml/2017/richdata2" ref="A2:H142">
    <sortCondition ref="F1:F142"/>
  </sortState>
  <dataValidations count="1">
    <dataValidation type="list" allowBlank="1" showInputMessage="1" showErrorMessage="1" sqref="F101:F142 C2:C142 F2:F99 E2:E142" xr:uid="{D670CCDE-50F0-412C-A412-6C12363F31A6}">
      <formula1>#REF!</formula1>
    </dataValidation>
  </dataValidations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aeece3c5-2e6a-4bcf-acf2-6ee49669618d}" enabled="1" method="Privileged" siteId="{cf36141c-ddd7-45a7-b073-111f66d0b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Lançamentos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Marcos da Silva</dc:creator>
  <cp:lastModifiedBy>Aran Morales</cp:lastModifiedBy>
  <dcterms:created xsi:type="dcterms:W3CDTF">2023-08-06T23:21:34Z</dcterms:created>
  <dcterms:modified xsi:type="dcterms:W3CDTF">2025-09-02T17:41:43Z</dcterms:modified>
</cp:coreProperties>
</file>